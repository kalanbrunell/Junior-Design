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rrodri08_tufts_edu/Documents/Junior_Design/"/>
    </mc:Choice>
  </mc:AlternateContent>
  <xr:revisionPtr revIDLastSave="89" documentId="8_{4ECA5E54-E2A7-48FD-8067-7DE06E2735A6}" xr6:coauthVersionLast="47" xr6:coauthVersionMax="47" xr10:uidLastSave="{4DB68686-2C03-4ABE-8A86-A7A76561FBB2}"/>
  <bookViews>
    <workbookView xWindow="-105" yWindow="0" windowWidth="14610" windowHeight="16305" xr2:uid="{820EBC69-21AD-4486-9E28-9766DD186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E14" i="1"/>
  <c r="E15" i="1"/>
  <c r="E16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<sst xmlns="http://schemas.openxmlformats.org/spreadsheetml/2006/main" count="28" uniqueCount="28">
  <si>
    <t>Part</t>
  </si>
  <si>
    <t>Quantity</t>
  </si>
  <si>
    <t>Unit Price</t>
  </si>
  <si>
    <t>H-Bridge</t>
  </si>
  <si>
    <t>Motor</t>
  </si>
  <si>
    <t>Red LED</t>
  </si>
  <si>
    <t>Yellow LED</t>
  </si>
  <si>
    <t>Blue LED</t>
  </si>
  <si>
    <t>IR LED</t>
  </si>
  <si>
    <t>Light Sensor Ambient 5mm Flat</t>
  </si>
  <si>
    <t>Phototransistor NPN 860nm</t>
  </si>
  <si>
    <t>Wheel</t>
  </si>
  <si>
    <t>Ball Caster</t>
  </si>
  <si>
    <t>3d printing fillament</t>
  </si>
  <si>
    <t>Part Num</t>
  </si>
  <si>
    <t>LD293DNE</t>
  </si>
  <si>
    <t>UT1893-45-0125-R</t>
  </si>
  <si>
    <t>LHR2041</t>
  </si>
  <si>
    <t>LVY2041</t>
  </si>
  <si>
    <t>OVLBB4C7</t>
  </si>
  <si>
    <t>ALS-PT243-3C/L177</t>
  </si>
  <si>
    <t>LVIR3333</t>
  </si>
  <si>
    <t>Price</t>
  </si>
  <si>
    <t>TOTAL PRICE:</t>
  </si>
  <si>
    <t>ARDUINO UNO WiFi REV2</t>
  </si>
  <si>
    <r>
      <t xml:space="preserve">Resistor 240 ohm </t>
    </r>
    <r>
      <rPr>
        <sz val="11"/>
        <color theme="1"/>
        <rFont val="Aptos Narrow"/>
        <family val="2"/>
      </rPr>
      <t>±</t>
    </r>
    <r>
      <rPr>
        <sz val="11"/>
        <color theme="1"/>
        <rFont val="Aptos Narrow"/>
        <family val="2"/>
        <scheme val="minor"/>
      </rPr>
      <t>5%</t>
    </r>
  </si>
  <si>
    <r>
      <t xml:space="preserve">Resistor 4.6 kohm </t>
    </r>
    <r>
      <rPr>
        <sz val="11"/>
        <color theme="1"/>
        <rFont val="Aptos Narrow"/>
        <family val="2"/>
      </rPr>
      <t>±</t>
    </r>
    <r>
      <rPr>
        <sz val="11"/>
        <color theme="1"/>
        <rFont val="Aptos Narrow"/>
        <family val="2"/>
        <scheme val="minor"/>
      </rPr>
      <t>5%</t>
    </r>
  </si>
  <si>
    <r>
      <t xml:space="preserve">Resistor 330 kohm </t>
    </r>
    <r>
      <rPr>
        <sz val="11"/>
        <color theme="1"/>
        <rFont val="Aptos Narrow"/>
        <family val="2"/>
      </rPr>
      <t>±</t>
    </r>
    <r>
      <rPr>
        <sz val="11"/>
        <color theme="1"/>
        <rFont val="Aptos Narrow"/>
        <family val="2"/>
        <scheme val="minor"/>
      </rPr>
      <t>5%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</si>
</sst>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0E52-EAF7-45D7-9E33-485BD983A840}">
  <dimension ref="A1:E19"/>
  <sheetViews>
    <sheetView tabSelected="1" workbookViewId="0">
      <selection activeCell="C16" sqref="C16"/>
    </sheetView>
  </sheetViews>
  <sheetFormatPr defaultRowHeight="15" x14ac:dyDescent="0.25"/>
  <cols>
    <col min="1" max="2" width="30.7109375" customWidth="1"/>
    <col min="4" max="4" width="10.85546875" customWidth="1"/>
    <col min="5" max="5" width="12.28515625" customWidth="1"/>
  </cols>
  <sheetData>
    <row r="1" spans="1:5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22</v>
      </c>
    </row>
    <row r="2" spans="1:5" x14ac:dyDescent="0.25">
      <c r="A2" t="s">
        <v>3</v>
      </c>
      <c r="B2" t="s">
        <v>15</v>
      </c>
      <c r="C2">
        <v>1</v>
      </c>
      <c r="D2" s="2"/>
      <c r="E2" s="2">
        <f>C2*D2</f>
        <v>0</v>
      </c>
    </row>
    <row r="3" spans="1:5" x14ac:dyDescent="0.25">
      <c r="A3" t="s">
        <v>11</v>
      </c>
      <c r="C3">
        <v>2</v>
      </c>
      <c r="D3" s="2"/>
      <c r="E3" s="2">
        <f t="shared" ref="E3:E16" si="0">C3*D3</f>
        <v>0</v>
      </c>
    </row>
    <row r="4" spans="1:5" x14ac:dyDescent="0.25">
      <c r="A4" t="s">
        <v>12</v>
      </c>
      <c r="C4">
        <v>1</v>
      </c>
      <c r="D4" s="2"/>
      <c r="E4" s="2">
        <f t="shared" si="0"/>
        <v>0</v>
      </c>
    </row>
    <row r="5" spans="1:5" x14ac:dyDescent="0.25">
      <c r="A5" t="s">
        <v>4</v>
      </c>
      <c r="C5">
        <v>2</v>
      </c>
      <c r="D5" s="2"/>
      <c r="E5" s="2">
        <f t="shared" si="0"/>
        <v>0</v>
      </c>
    </row>
    <row r="6" spans="1:5" x14ac:dyDescent="0.25">
      <c r="A6" t="s">
        <v>24</v>
      </c>
      <c r="C6">
        <v>1</v>
      </c>
      <c r="D6" s="2">
        <v>55.4</v>
      </c>
      <c r="E6" s="2">
        <f t="shared" si="0"/>
        <v>55.4</v>
      </c>
    </row>
    <row r="7" spans="1:5" x14ac:dyDescent="0.25">
      <c r="A7" t="s">
        <v>5</v>
      </c>
      <c r="B7" t="s">
        <v>17</v>
      </c>
      <c r="C7">
        <v>1</v>
      </c>
      <c r="D7" s="2">
        <v>0.06</v>
      </c>
      <c r="E7" s="2">
        <f t="shared" si="0"/>
        <v>0.06</v>
      </c>
    </row>
    <row r="8" spans="1:5" x14ac:dyDescent="0.25">
      <c r="A8" t="s">
        <v>6</v>
      </c>
      <c r="B8" t="s">
        <v>18</v>
      </c>
      <c r="C8">
        <v>1</v>
      </c>
      <c r="D8" s="2">
        <v>0.06</v>
      </c>
      <c r="E8" s="2">
        <f t="shared" si="0"/>
        <v>0.06</v>
      </c>
    </row>
    <row r="9" spans="1:5" x14ac:dyDescent="0.25">
      <c r="A9" t="s">
        <v>7</v>
      </c>
      <c r="B9" t="s">
        <v>19</v>
      </c>
      <c r="C9">
        <v>1</v>
      </c>
      <c r="D9" s="2">
        <v>0.42</v>
      </c>
      <c r="E9" s="2">
        <f t="shared" si="0"/>
        <v>0.42</v>
      </c>
    </row>
    <row r="10" spans="1:5" x14ac:dyDescent="0.25">
      <c r="A10" t="s">
        <v>8</v>
      </c>
      <c r="B10" t="s">
        <v>21</v>
      </c>
      <c r="C10">
        <v>1</v>
      </c>
      <c r="D10" s="2">
        <v>0.28999999999999998</v>
      </c>
      <c r="E10" s="2">
        <f t="shared" si="0"/>
        <v>0.28999999999999998</v>
      </c>
    </row>
    <row r="11" spans="1:5" x14ac:dyDescent="0.25">
      <c r="A11" t="s">
        <v>9</v>
      </c>
      <c r="B11" t="s">
        <v>20</v>
      </c>
      <c r="C11">
        <v>1</v>
      </c>
      <c r="D11" s="2">
        <v>0.51</v>
      </c>
      <c r="E11" s="2">
        <f t="shared" si="0"/>
        <v>0.51</v>
      </c>
    </row>
    <row r="12" spans="1:5" x14ac:dyDescent="0.25">
      <c r="A12" t="s">
        <v>10</v>
      </c>
      <c r="B12" t="s">
        <v>16</v>
      </c>
      <c r="C12">
        <v>1</v>
      </c>
      <c r="D12" s="2">
        <v>0.28999999999999998</v>
      </c>
      <c r="E12" s="2">
        <f t="shared" si="0"/>
        <v>0.28999999999999998</v>
      </c>
    </row>
    <row r="13" spans="1:5" x14ac:dyDescent="0.25">
      <c r="A13" t="s">
        <v>13</v>
      </c>
      <c r="D13" s="2"/>
      <c r="E13" s="2"/>
    </row>
    <row r="14" spans="1:5" x14ac:dyDescent="0.25">
      <c r="A14" t="s">
        <v>25</v>
      </c>
      <c r="C14">
        <v>2</v>
      </c>
      <c r="D14" s="2">
        <v>0.1</v>
      </c>
      <c r="E14" s="2">
        <f t="shared" si="0"/>
        <v>0.2</v>
      </c>
    </row>
    <row r="15" spans="1:5" x14ac:dyDescent="0.25">
      <c r="A15" t="s">
        <v>26</v>
      </c>
      <c r="C15">
        <v>1</v>
      </c>
      <c r="D15" s="2">
        <v>0.1</v>
      </c>
      <c r="E15" s="2">
        <f t="shared" si="0"/>
        <v>0.1</v>
      </c>
    </row>
    <row r="16" spans="1:5" x14ac:dyDescent="0.25">
      <c r="A16" t="s">
        <v>27</v>
      </c>
      <c r="C16">
        <v>1</v>
      </c>
      <c r="D16" s="2">
        <v>0.1</v>
      </c>
      <c r="E16" s="2">
        <f t="shared" si="0"/>
        <v>0.1</v>
      </c>
    </row>
    <row r="18" spans="1:1" x14ac:dyDescent="0.25">
      <c r="A18" t="s">
        <v>23</v>
      </c>
    </row>
    <row r="19" spans="1:1" x14ac:dyDescent="0.25">
      <c r="A19" s="2">
        <f>SUM(E2:E16)</f>
        <v>57.430000000000007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Rodriguez-Anton, Rigoberto E</dc:creator>
  <cp:lastModifiedBy>Rodriguez-Anton, Rigoberto E</cp:lastModifiedBy>
  <dcterms:created xsi:type="dcterms:W3CDTF">2025-10-16T18:01:12Z</dcterms:created>
  <dcterms:modified xsi:type="dcterms:W3CDTF">2025-10-16T18:41:00Z</dcterms:modified>
</cp:coreProperties>
</file>